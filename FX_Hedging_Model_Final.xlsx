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8"/>
  <workbookPr/>
  <mc:AlternateContent xmlns:mc="http://schemas.openxmlformats.org/markup-compatibility/2006">
    <mc:Choice Requires="x15">
      <x15ac:absPath xmlns:x15ac="http://schemas.microsoft.com/office/spreadsheetml/2010/11/ac" url="/Users/jaydenamba/Downloads/"/>
    </mc:Choice>
  </mc:AlternateContent>
  <xr:revisionPtr revIDLastSave="0" documentId="13_ncr:1_{EF3A4DB8-0DE6-514B-B2BF-A5B979302300}" xr6:coauthVersionLast="47" xr6:coauthVersionMax="47" xr10:uidLastSave="{00000000-0000-0000-0000-000000000000}"/>
  <bookViews>
    <workbookView xWindow="0" yWindow="1720" windowWidth="28800" windowHeight="16300" xr2:uid="{00000000-000D-0000-FFFF-FFFF00000000}"/>
  </bookViews>
  <sheets>
    <sheet name="FX_Hedging_Model" sheetId="1" r:id="rId1"/>
    <sheet name="NamedRanges_Audit" sheetId="2" r:id="rId2"/>
    <sheet name="Formula_Audit" sheetId="3" r:id="rId3"/>
  </sheets>
  <definedNames>
    <definedName name="F0_in">FX_Hedging_Model!$B$9</definedName>
    <definedName name="FC_AMT">FX_Hedging_Model!$B$5</definedName>
    <definedName name="K_CALL">FX_Hedging_Model!$B$13</definedName>
    <definedName name="K_PUT">FX_Hedging_Model!$B$12</definedName>
    <definedName name="PREM_CALL">FX_Hedging_Model!$B$15</definedName>
    <definedName name="PREM_PUT">FX_Hedging_Model!$B$14</definedName>
    <definedName name="R_FC">FX_Hedging_Model!$B$11</definedName>
    <definedName name="R_USD">FX_Hedging_Model!$B$10</definedName>
    <definedName name="S0_in">FX_Hedging_Model!$B$8</definedName>
    <definedName name="T_DAYS">FX_Hedging_Model!$B$6</definedName>
    <definedName name="T_YRS">FX_Hedging_Model!$B$7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4" i="3" l="1"/>
  <c r="B13" i="3"/>
  <c r="B12" i="3"/>
  <c r="B11" i="3"/>
  <c r="B10" i="3"/>
  <c r="B9" i="3"/>
  <c r="B8" i="3"/>
  <c r="B7" i="3"/>
  <c r="B6" i="3"/>
  <c r="B5" i="3"/>
  <c r="B4" i="3"/>
  <c r="B3" i="3"/>
  <c r="B2" i="3"/>
  <c r="D12" i="2"/>
  <c r="B12" i="2"/>
  <c r="D11" i="2"/>
  <c r="B11" i="2"/>
  <c r="D10" i="2"/>
  <c r="B10" i="2"/>
  <c r="D9" i="2"/>
  <c r="B9" i="2"/>
  <c r="D8" i="2"/>
  <c r="B8" i="2"/>
  <c r="D7" i="2"/>
  <c r="B7" i="2"/>
  <c r="D6" i="2"/>
  <c r="B6" i="2"/>
  <c r="D5" i="2"/>
  <c r="B5" i="2"/>
  <c r="D4" i="2"/>
  <c r="B4" i="2"/>
  <c r="D3" i="2"/>
  <c r="B3" i="2"/>
  <c r="D2" i="2"/>
  <c r="B2" i="2"/>
  <c r="B73" i="1"/>
  <c r="B74" i="1" s="1"/>
  <c r="B75" i="1" s="1"/>
  <c r="B64" i="1"/>
  <c r="A64" i="1"/>
  <c r="E64" i="1" s="1"/>
  <c r="B63" i="1"/>
  <c r="A63" i="1"/>
  <c r="D63" i="1" s="1"/>
  <c r="D62" i="1"/>
  <c r="B62" i="1"/>
  <c r="A62" i="1"/>
  <c r="E62" i="1" s="1"/>
  <c r="B61" i="1"/>
  <c r="A61" i="1"/>
  <c r="E61" i="1" s="1"/>
  <c r="B60" i="1"/>
  <c r="A60" i="1"/>
  <c r="E60" i="1" s="1"/>
  <c r="E59" i="1"/>
  <c r="B59" i="1"/>
  <c r="A59" i="1"/>
  <c r="D59" i="1" s="1"/>
  <c r="B58" i="1"/>
  <c r="A58" i="1"/>
  <c r="B42" i="1"/>
  <c r="B41" i="1"/>
  <c r="B40" i="1"/>
  <c r="E58" i="1" s="1"/>
  <c r="B39" i="1"/>
  <c r="B36" i="1"/>
  <c r="B35" i="1"/>
  <c r="D58" i="1" s="1"/>
  <c r="B34" i="1"/>
  <c r="B25" i="1"/>
  <c r="B26" i="1" s="1"/>
  <c r="B27" i="1" s="1"/>
  <c r="B18" i="1"/>
  <c r="I6" i="1"/>
  <c r="C6" i="2"/>
  <c r="C4" i="2"/>
  <c r="C11" i="2"/>
  <c r="C3" i="2"/>
  <c r="C8" i="2"/>
  <c r="C5" i="2"/>
  <c r="C2" i="2"/>
  <c r="C10" i="2"/>
  <c r="C7" i="2"/>
  <c r="C12" i="2"/>
  <c r="C9" i="2"/>
  <c r="C60" i="1" l="1"/>
  <c r="C63" i="1"/>
  <c r="I7" i="1"/>
  <c r="C61" i="1"/>
  <c r="C58" i="1"/>
  <c r="C59" i="1"/>
  <c r="C64" i="1"/>
  <c r="B77" i="1"/>
  <c r="B78" i="1" s="1"/>
  <c r="C62" i="1"/>
  <c r="D60" i="1"/>
  <c r="E63" i="1"/>
  <c r="D64" i="1"/>
  <c r="D61" i="1"/>
  <c r="B37" i="1"/>
  <c r="I5" i="1" l="1"/>
  <c r="I4" i="1"/>
</calcChain>
</file>

<file path=xl/sharedStrings.xml><?xml version="1.0" encoding="utf-8"?>
<sst xmlns="http://schemas.openxmlformats.org/spreadsheetml/2006/main" count="96" uniqueCount="95">
  <si>
    <t>FX HEDGING MODEL - EUR RECEIVABLE ANALYSIS</t>
  </si>
  <si>
    <t>Summary Dashboard</t>
  </si>
  <si>
    <t>A. INPUTS &amp; ASSUMPTIONS</t>
  </si>
  <si>
    <t>Metric</t>
  </si>
  <si>
    <t>Value</t>
  </si>
  <si>
    <t>Formula Reference</t>
  </si>
  <si>
    <t>Best Case (max USD)</t>
  </si>
  <si>
    <t>MAX of sensitivity table</t>
  </si>
  <si>
    <t>Foreign currency amount (EUR)</t>
  </si>
  <si>
    <t>Worst Case (min USD)</t>
  </si>
  <si>
    <t>MIN of sensitivity table</t>
  </si>
  <si>
    <t>Days to maturity</t>
  </si>
  <si>
    <t>Expected (at S0)</t>
  </si>
  <si>
    <t>Forward hedge at S0</t>
  </si>
  <si>
    <t>Years to maturity</t>
  </si>
  <si>
    <t>Breakeven Rate (where forward = MM hedge)</t>
  </si>
  <si>
    <t>Compare Forward USD and MM USD</t>
  </si>
  <si>
    <t>Spot rate USD/EUR</t>
  </si>
  <si>
    <t>Forward rate USD/EUR</t>
  </si>
  <si>
    <t>USD interest rate (decimal)</t>
  </si>
  <si>
    <t>EUR interest rate (decimal)</t>
  </si>
  <si>
    <t>Put strike (USD/EUR)</t>
  </si>
  <si>
    <t>Call strike (USD/EUR)</t>
  </si>
  <si>
    <t>Put premium (USD per EUR)</t>
  </si>
  <si>
    <t>Call premium (USD per EUR)</t>
  </si>
  <si>
    <t>B. FORWARD HEDGE</t>
  </si>
  <si>
    <t>USD_receivable_forward</t>
  </si>
  <si>
    <t>C. MONEY MARKET HEDGE</t>
  </si>
  <si>
    <t>EUR_borrowed</t>
  </si>
  <si>
    <t>USD_today (after convert)</t>
  </si>
  <si>
    <t>USD_future (invested)</t>
  </si>
  <si>
    <t>D. OPTION HEDGES</t>
  </si>
  <si>
    <t>Put Premium Cost (USD)</t>
  </si>
  <si>
    <t>Put Premium FV (USD)</t>
  </si>
  <si>
    <t>Put Payoff (gross) at ST</t>
  </si>
  <si>
    <t>Put Net USD Receivable</t>
  </si>
  <si>
    <t>Call Premium Received (USD)</t>
  </si>
  <si>
    <t>Call Premium FV (USD)</t>
  </si>
  <si>
    <t>Call Payoff (gross) at ST</t>
  </si>
  <si>
    <t>Call Net USD Receivable</t>
  </si>
  <si>
    <t>E. SENSITIVITY ANALYSIS</t>
  </si>
  <si>
    <t>Future Spot (S_T)</t>
  </si>
  <si>
    <t>Forward Hedge</t>
  </si>
  <si>
    <t>MM Hedge</t>
  </si>
  <si>
    <t>Put Hedge (Net)</t>
  </si>
  <si>
    <t>Call Hedge (Net)</t>
  </si>
  <si>
    <t>Verification &amp; Validation</t>
  </si>
  <si>
    <t>Theoretical_Forward</t>
  </si>
  <si>
    <t>Parity_Difference</t>
  </si>
  <si>
    <t>Parity_Check</t>
  </si>
  <si>
    <t>MM_vs_Forward_Diff</t>
  </si>
  <si>
    <t>Equivalence_Check</t>
  </si>
  <si>
    <t>Named Range</t>
  </si>
  <si>
    <t>Exists?</t>
  </si>
  <si>
    <t>Cell Reference</t>
  </si>
  <si>
    <t>FC_AMT</t>
  </si>
  <si>
    <t>T_DAYS</t>
  </si>
  <si>
    <t>T_YRS</t>
  </si>
  <si>
    <t>S0_in</t>
  </si>
  <si>
    <t>F0_in</t>
  </si>
  <si>
    <t>R_USD</t>
  </si>
  <si>
    <t>R_FC</t>
  </si>
  <si>
    <t>K_PUT</t>
  </si>
  <si>
    <t>K_CALL</t>
  </si>
  <si>
    <t>PREM_PUT</t>
  </si>
  <si>
    <t>PREM_CALL</t>
  </si>
  <si>
    <t>Cell</t>
  </si>
  <si>
    <t>Formula</t>
  </si>
  <si>
    <t>Description</t>
  </si>
  <si>
    <t>B18</t>
  </si>
  <si>
    <t>Forward hedge USD receivable</t>
  </si>
  <si>
    <t>B25</t>
  </si>
  <si>
    <t>EUR borrowed in MM hedge</t>
  </si>
  <si>
    <t>B26</t>
  </si>
  <si>
    <t>Convert EUR borrowed to USD today</t>
  </si>
  <si>
    <t>B27</t>
  </si>
  <si>
    <t>Invest USD to maturity</t>
  </si>
  <si>
    <t>B34</t>
  </si>
  <si>
    <t>Put premium upfront (USD)</t>
  </si>
  <si>
    <t>B35</t>
  </si>
  <si>
    <t>Put premium future value</t>
  </si>
  <si>
    <t>B36</t>
  </si>
  <si>
    <t>Put gross payoff formula (uses ST)</t>
  </si>
  <si>
    <t>B37</t>
  </si>
  <si>
    <t>Put net USD receivable</t>
  </si>
  <si>
    <t>B39</t>
  </si>
  <si>
    <t>Call premium upfront (USD)</t>
  </si>
  <si>
    <t>B40</t>
  </si>
  <si>
    <t>Call premium future value</t>
  </si>
  <si>
    <t>B41</t>
  </si>
  <si>
    <t>Call gross payoff formula (uses ST)</t>
  </si>
  <si>
    <t>B42</t>
  </si>
  <si>
    <t>Call net USD receivable</t>
  </si>
  <si>
    <t>B73</t>
  </si>
  <si>
    <t>Theoretical forward from IRP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</si>
</sst>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.0000"/>
    <numFmt numFmtId="165" formatCode="0.0000"/>
  </numFmts>
  <fonts count="4" x14ac:knownFonts="1">
    <font>
      <sz val="11"/>
      <color theme="1"/>
      <name val="Calibri"/>
      <family val="2"/>
      <scheme val="minor"/>
    </font>
    <font>
      <b/>
      <sz val="12"/>
      <color rgb="FFFFFFFF"/>
      <name val="Calibri"/>
    </font>
    <font>
      <b/>
      <sz val="11"/>
      <name val="Calibri"/>
    </font>
    <font>
      <b/>
      <sz val="11"/>
      <color rgb="FFFFFFFF"/>
      <name val="Calibri"/>
    </font>
  </fonts>
  <fills count="7">
    <fill>
      <patternFill patternType="none"/>
    </fill>
    <fill>
      <patternFill patternType="gray125"/>
    </fill>
    <fill>
      <patternFill patternType="solid">
        <fgColor rgb="FF00008B"/>
        <bgColor rgb="FF00008B"/>
      </patternFill>
    </fill>
    <fill>
      <patternFill patternType="solid">
        <fgColor rgb="FFFFFF00"/>
        <bgColor rgb="FFFFFF00"/>
      </patternFill>
    </fill>
    <fill>
      <patternFill patternType="solid">
        <fgColor rgb="FFADD8E6"/>
        <bgColor rgb="FFADD8E6"/>
      </patternFill>
    </fill>
    <fill>
      <patternFill patternType="solid">
        <fgColor rgb="FF90EE90"/>
        <bgColor rgb="FF90EE90"/>
      </patternFill>
    </fill>
    <fill>
      <patternFill patternType="solid">
        <fgColor rgb="FFD3D3D3"/>
        <bgColor rgb="FFD3D3D3"/>
      </patternFill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3" fillId="2" borderId="0" xfId="0" applyFont="1" applyFill="1" applyAlignment="1">
      <alignment horizontal="center" vertical="center"/>
    </xf>
    <xf numFmtId="4" fontId="0" fillId="0" borderId="0" xfId="0" applyNumberFormat="1"/>
    <xf numFmtId="0" fontId="0" fillId="0" borderId="1" xfId="0" applyBorder="1" applyAlignment="1">
      <alignment wrapText="1"/>
    </xf>
    <xf numFmtId="3" fontId="0" fillId="3" borderId="1" xfId="0" applyNumberFormat="1" applyFill="1" applyBorder="1"/>
    <xf numFmtId="3" fontId="0" fillId="4" borderId="1" xfId="0" applyNumberFormat="1" applyFill="1" applyBorder="1"/>
    <xf numFmtId="164" fontId="0" fillId="4" borderId="1" xfId="0" applyNumberFormat="1" applyFill="1" applyBorder="1"/>
    <xf numFmtId="164" fontId="0" fillId="3" borderId="1" xfId="0" applyNumberFormat="1" applyFill="1" applyBorder="1"/>
    <xf numFmtId="165" fontId="0" fillId="4" borderId="1" xfId="0" applyNumberFormat="1" applyFill="1" applyBorder="1"/>
    <xf numFmtId="4" fontId="0" fillId="5" borderId="1" xfId="0" applyNumberFormat="1" applyFill="1" applyBorder="1"/>
    <xf numFmtId="4" fontId="0" fillId="5" borderId="0" xfId="0" applyNumberFormat="1" applyFill="1"/>
    <xf numFmtId="4" fontId="0" fillId="6" borderId="2" xfId="0" applyNumberFormat="1" applyFill="1" applyBorder="1"/>
    <xf numFmtId="165" fontId="0" fillId="0" borderId="0" xfId="0" applyNumberFormat="1"/>
    <xf numFmtId="4" fontId="0" fillId="6" borderId="0" xfId="0" applyNumberFormat="1" applyFill="1"/>
    <xf numFmtId="0" fontId="0" fillId="5" borderId="0" xfId="0" applyFill="1"/>
    <xf numFmtId="0" fontId="3" fillId="2" borderId="0" xfId="0" applyFont="1" applyFill="1"/>
    <xf numFmtId="0" fontId="1" fillId="2" borderId="0" xfId="0" applyFont="1" applyFill="1" applyAlignment="1">
      <alignment horizontal="center" vertical="center"/>
    </xf>
    <xf numFmtId="0" fontId="0" fillId="0" borderId="0" xfId="0"/>
    <xf numFmtId="0" fontId="2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78"/>
  <sheetViews>
    <sheetView tabSelected="1" workbookViewId="0">
      <selection activeCell="C43" sqref="C43"/>
    </sheetView>
  </sheetViews>
  <sheetFormatPr baseColWidth="10" defaultColWidth="8.83203125" defaultRowHeight="15" x14ac:dyDescent="0.2"/>
  <cols>
    <col min="1" max="12" width="18" customWidth="1"/>
  </cols>
  <sheetData>
    <row r="1" spans="1:10" ht="22" customHeight="1" x14ac:dyDescent="0.2">
      <c r="A1" s="16" t="s">
        <v>0</v>
      </c>
      <c r="B1" s="17"/>
      <c r="C1" s="17"/>
      <c r="D1" s="17"/>
      <c r="E1" s="17"/>
    </row>
    <row r="2" spans="1:10" x14ac:dyDescent="0.2">
      <c r="H2" s="18" t="s">
        <v>1</v>
      </c>
      <c r="I2" s="17"/>
      <c r="J2" s="17"/>
    </row>
    <row r="3" spans="1:10" x14ac:dyDescent="0.2">
      <c r="A3" s="18" t="s">
        <v>2</v>
      </c>
      <c r="B3" s="17"/>
      <c r="C3" s="17"/>
      <c r="D3" s="17"/>
      <c r="E3" s="17"/>
      <c r="H3" s="1" t="s">
        <v>3</v>
      </c>
      <c r="I3" s="1" t="s">
        <v>4</v>
      </c>
      <c r="J3" s="1" t="s">
        <v>5</v>
      </c>
    </row>
    <row r="4" spans="1:10" x14ac:dyDescent="0.2">
      <c r="H4" t="s">
        <v>6</v>
      </c>
      <c r="I4" s="2">
        <f>MAX(B58:E64)</f>
        <v>5430570.75</v>
      </c>
      <c r="J4" t="s">
        <v>7</v>
      </c>
    </row>
    <row r="5" spans="1:10" ht="32" x14ac:dyDescent="0.2">
      <c r="A5" s="3" t="s">
        <v>8</v>
      </c>
      <c r="B5" s="4">
        <v>4500000</v>
      </c>
      <c r="H5" t="s">
        <v>9</v>
      </c>
      <c r="I5" s="2">
        <f>MIN(B58:E64)</f>
        <v>4893750</v>
      </c>
      <c r="J5" t="s">
        <v>10</v>
      </c>
    </row>
    <row r="6" spans="1:10" ht="16" x14ac:dyDescent="0.2">
      <c r="A6" s="3" t="s">
        <v>11</v>
      </c>
      <c r="B6" s="5">
        <v>360</v>
      </c>
      <c r="H6" t="s">
        <v>12</v>
      </c>
      <c r="I6" s="2">
        <f>B61</f>
        <v>4893750</v>
      </c>
      <c r="J6" t="s">
        <v>13</v>
      </c>
    </row>
    <row r="7" spans="1:10" ht="16" x14ac:dyDescent="0.2">
      <c r="A7" s="3" t="s">
        <v>14</v>
      </c>
      <c r="B7" s="6">
        <v>1</v>
      </c>
      <c r="H7" t="s">
        <v>15</v>
      </c>
      <c r="I7" t="str">
        <f>IF(ABS(B27-(FC_AMT*F0_in))&lt;0.01,"~Equal","Different")</f>
        <v>Different</v>
      </c>
      <c r="J7" t="s">
        <v>16</v>
      </c>
    </row>
    <row r="8" spans="1:10" ht="16" x14ac:dyDescent="0.2">
      <c r="A8" s="3" t="s">
        <v>17</v>
      </c>
      <c r="B8" s="7">
        <v>1.1641999999999999</v>
      </c>
    </row>
    <row r="9" spans="1:10" ht="32" x14ac:dyDescent="0.2">
      <c r="A9" s="3" t="s">
        <v>18</v>
      </c>
      <c r="B9" s="6">
        <v>1.0874999999999999</v>
      </c>
    </row>
    <row r="10" spans="1:10" ht="32" x14ac:dyDescent="0.2">
      <c r="A10" s="3" t="s">
        <v>19</v>
      </c>
      <c r="B10" s="8">
        <v>4.1099999999999998E-2</v>
      </c>
    </row>
    <row r="11" spans="1:10" ht="32" x14ac:dyDescent="0.2">
      <c r="A11" s="3" t="s">
        <v>20</v>
      </c>
      <c r="B11" s="8">
        <v>2.1499999999999998E-2</v>
      </c>
    </row>
    <row r="12" spans="1:10" ht="16" x14ac:dyDescent="0.2">
      <c r="A12" s="3" t="s">
        <v>21</v>
      </c>
      <c r="B12" s="7">
        <v>1.1641999999999999</v>
      </c>
    </row>
    <row r="13" spans="1:10" ht="16" x14ac:dyDescent="0.2">
      <c r="A13" s="3" t="s">
        <v>22</v>
      </c>
      <c r="B13" s="7">
        <v>1.1641999999999999</v>
      </c>
    </row>
    <row r="14" spans="1:10" ht="32" x14ac:dyDescent="0.2">
      <c r="A14" s="3" t="s">
        <v>23</v>
      </c>
      <c r="B14" s="8">
        <v>1.4999999999999999E-2</v>
      </c>
    </row>
    <row r="15" spans="1:10" ht="32" x14ac:dyDescent="0.2">
      <c r="A15" s="3" t="s">
        <v>24</v>
      </c>
      <c r="B15" s="8">
        <v>1.7999999999999999E-2</v>
      </c>
    </row>
    <row r="17" spans="1:5" x14ac:dyDescent="0.2">
      <c r="A17" s="18" t="s">
        <v>25</v>
      </c>
      <c r="B17" s="17"/>
      <c r="C17" s="17"/>
      <c r="D17" s="17"/>
      <c r="E17" s="17"/>
    </row>
    <row r="18" spans="1:5" x14ac:dyDescent="0.2">
      <c r="A18" t="s">
        <v>26</v>
      </c>
      <c r="B18" s="9">
        <f>FC_AMT*F0_in</f>
        <v>4893750</v>
      </c>
    </row>
    <row r="24" spans="1:5" x14ac:dyDescent="0.2">
      <c r="A24" s="18" t="s">
        <v>27</v>
      </c>
      <c r="B24" s="17"/>
      <c r="C24" s="17"/>
      <c r="D24" s="17"/>
      <c r="E24" s="17"/>
    </row>
    <row r="25" spans="1:5" x14ac:dyDescent="0.2">
      <c r="A25" t="s">
        <v>28</v>
      </c>
      <c r="B25" s="10">
        <f>FC_AMT/(1+R_FC*T_YRS)</f>
        <v>4405286.3436123347</v>
      </c>
    </row>
    <row r="26" spans="1:5" x14ac:dyDescent="0.2">
      <c r="A26" t="s">
        <v>29</v>
      </c>
      <c r="B26" s="10">
        <f>B25*S0_in</f>
        <v>5128634.3612334793</v>
      </c>
    </row>
    <row r="27" spans="1:5" x14ac:dyDescent="0.2">
      <c r="A27" t="s">
        <v>30</v>
      </c>
      <c r="B27" s="11">
        <f>B26*(1+R_USD*T_YRS)</f>
        <v>5339421.233480175</v>
      </c>
    </row>
    <row r="33" spans="1:5" x14ac:dyDescent="0.2">
      <c r="A33" s="18" t="s">
        <v>31</v>
      </c>
      <c r="B33" s="17"/>
      <c r="C33" s="17"/>
      <c r="D33" s="17"/>
      <c r="E33" s="17"/>
    </row>
    <row r="34" spans="1:5" x14ac:dyDescent="0.2">
      <c r="A34" t="s">
        <v>32</v>
      </c>
      <c r="B34" s="10">
        <f>FC_AMT*PREM_PUT</f>
        <v>67500</v>
      </c>
    </row>
    <row r="35" spans="1:5" x14ac:dyDescent="0.2">
      <c r="A35" t="s">
        <v>33</v>
      </c>
      <c r="B35" s="10">
        <f>B34*(1+R_USD*T_YRS)</f>
        <v>70274.25</v>
      </c>
    </row>
    <row r="36" spans="1:5" x14ac:dyDescent="0.2">
      <c r="A36" t="s">
        <v>34</v>
      </c>
      <c r="B36" s="10">
        <f>IF(A58&lt;K_PUT,FC_AMT*K_PUT,FC_AMT*A58)</f>
        <v>5238900</v>
      </c>
    </row>
    <row r="37" spans="1:5" x14ac:dyDescent="0.2">
      <c r="A37" t="s">
        <v>35</v>
      </c>
      <c r="B37" s="11">
        <f>B36-B35</f>
        <v>5168625.75</v>
      </c>
    </row>
    <row r="39" spans="1:5" x14ac:dyDescent="0.2">
      <c r="A39" t="s">
        <v>36</v>
      </c>
      <c r="B39" s="10">
        <f>FC_AMT*PREM_CALL</f>
        <v>81000</v>
      </c>
    </row>
    <row r="40" spans="1:5" x14ac:dyDescent="0.2">
      <c r="A40" t="s">
        <v>37</v>
      </c>
      <c r="B40" s="10">
        <f>B39*(1+R_USD*T_YRS)</f>
        <v>84329.099999999991</v>
      </c>
    </row>
    <row r="41" spans="1:5" x14ac:dyDescent="0.2">
      <c r="A41" t="s">
        <v>38</v>
      </c>
      <c r="B41" s="10">
        <f>IF(A58&gt;K_CALL,FC_AMT*K_CALL,FC_AMT*A58)</f>
        <v>4976954.9999999991</v>
      </c>
    </row>
    <row r="42" spans="1:5" x14ac:dyDescent="0.2">
      <c r="A42" t="s">
        <v>39</v>
      </c>
      <c r="B42" s="11">
        <f>B41+B40</f>
        <v>5061284.0999999987</v>
      </c>
    </row>
    <row r="56" spans="1:5" x14ac:dyDescent="0.2">
      <c r="A56" s="18" t="s">
        <v>40</v>
      </c>
      <c r="B56" s="17"/>
      <c r="C56" s="17"/>
      <c r="D56" s="17"/>
      <c r="E56" s="17"/>
    </row>
    <row r="57" spans="1:5" x14ac:dyDescent="0.2">
      <c r="A57" s="1" t="s">
        <v>41</v>
      </c>
      <c r="B57" s="1" t="s">
        <v>42</v>
      </c>
      <c r="C57" s="1" t="s">
        <v>43</v>
      </c>
      <c r="D57" s="1" t="s">
        <v>44</v>
      </c>
      <c r="E57" s="1" t="s">
        <v>45</v>
      </c>
    </row>
    <row r="58" spans="1:5" x14ac:dyDescent="0.2">
      <c r="A58" s="12">
        <f>S0_in*0.95</f>
        <v>1.1059899999999998</v>
      </c>
      <c r="B58" s="13">
        <f t="shared" ref="B58:B64" si="0">FC_AMT*F0_in</f>
        <v>4893750</v>
      </c>
      <c r="C58" s="13">
        <f>B27</f>
        <v>5339421.233480175</v>
      </c>
      <c r="D58" s="13">
        <f>IF(A58&lt;K_PUT,FC_AMT*K_PUT,FC_AMT*A58)-B35</f>
        <v>5168625.75</v>
      </c>
      <c r="E58" s="13">
        <f>IF(A58&gt;K_CALL,FC_AMT*K_CALL,FC_AMT*A58)+B40</f>
        <v>5061284.0999999987</v>
      </c>
    </row>
    <row r="59" spans="1:5" x14ac:dyDescent="0.2">
      <c r="A59" s="12">
        <f>S0_in*0.97</f>
        <v>1.1292739999999999</v>
      </c>
      <c r="B59" s="13">
        <f t="shared" si="0"/>
        <v>4893750</v>
      </c>
      <c r="C59" s="13">
        <f>B27</f>
        <v>5339421.233480175</v>
      </c>
      <c r="D59" s="13">
        <f>IF(A59&lt;K_PUT,FC_AMT*K_PUT,FC_AMT*A59)-B35</f>
        <v>5168625.75</v>
      </c>
      <c r="E59" s="13">
        <f>IF(A59&gt;K_CALL,FC_AMT*K_CALL,FC_AMT*A59)+B40</f>
        <v>5166062.0999999987</v>
      </c>
    </row>
    <row r="60" spans="1:5" x14ac:dyDescent="0.2">
      <c r="A60" s="12">
        <f>S0_in*0.99</f>
        <v>1.152558</v>
      </c>
      <c r="B60" s="13">
        <f t="shared" si="0"/>
        <v>4893750</v>
      </c>
      <c r="C60" s="13">
        <f>B27</f>
        <v>5339421.233480175</v>
      </c>
      <c r="D60" s="13">
        <f>IF(A60&lt;K_PUT,FC_AMT*K_PUT,FC_AMT*A60)-B35</f>
        <v>5168625.75</v>
      </c>
      <c r="E60" s="13">
        <f>IF(A60&gt;K_CALL,FC_AMT*K_CALL,FC_AMT*A60)+B40</f>
        <v>5270840.0999999996</v>
      </c>
    </row>
    <row r="61" spans="1:5" x14ac:dyDescent="0.2">
      <c r="A61" s="12">
        <f>S0_in*1</f>
        <v>1.1641999999999999</v>
      </c>
      <c r="B61" s="13">
        <f t="shared" si="0"/>
        <v>4893750</v>
      </c>
      <c r="C61" s="13">
        <f>B27</f>
        <v>5339421.233480175</v>
      </c>
      <c r="D61" s="13">
        <f>IF(A61&lt;K_PUT,FC_AMT*K_PUT,FC_AMT*A61)-B35</f>
        <v>5168625.75</v>
      </c>
      <c r="E61" s="13">
        <f>IF(A61&gt;K_CALL,FC_AMT*K_CALL,FC_AMT*A61)+B40</f>
        <v>5323229.0999999996</v>
      </c>
    </row>
    <row r="62" spans="1:5" x14ac:dyDescent="0.2">
      <c r="A62" s="12">
        <f>S0_in*1.01</f>
        <v>1.1758419999999998</v>
      </c>
      <c r="B62" s="13">
        <f t="shared" si="0"/>
        <v>4893750</v>
      </c>
      <c r="C62" s="13">
        <f>B27</f>
        <v>5339421.233480175</v>
      </c>
      <c r="D62" s="13">
        <f>IF(A62&lt;K_PUT,FC_AMT*K_PUT,FC_AMT*A62)-B35</f>
        <v>5221014.7499999991</v>
      </c>
      <c r="E62" s="13">
        <f>IF(A62&gt;K_CALL,FC_AMT*K_CALL,FC_AMT*A62)+B40</f>
        <v>5323229.0999999996</v>
      </c>
    </row>
    <row r="63" spans="1:5" x14ac:dyDescent="0.2">
      <c r="A63" s="12">
        <f>S0_in*1.03</f>
        <v>1.1991259999999999</v>
      </c>
      <c r="B63" s="13">
        <f t="shared" si="0"/>
        <v>4893750</v>
      </c>
      <c r="C63" s="13">
        <f>B27</f>
        <v>5339421.233480175</v>
      </c>
      <c r="D63" s="13">
        <f>IF(A63&lt;K_PUT,FC_AMT*K_PUT,FC_AMT*A63)-B35</f>
        <v>5325792.75</v>
      </c>
      <c r="E63" s="13">
        <f>IF(A63&gt;K_CALL,FC_AMT*K_CALL,FC_AMT*A63)+B40</f>
        <v>5323229.0999999996</v>
      </c>
    </row>
    <row r="64" spans="1:5" x14ac:dyDescent="0.2">
      <c r="A64" s="12">
        <f>S0_in*1.05</f>
        <v>1.22241</v>
      </c>
      <c r="B64" s="13">
        <f t="shared" si="0"/>
        <v>4893750</v>
      </c>
      <c r="C64" s="13">
        <f>B27</f>
        <v>5339421.233480175</v>
      </c>
      <c r="D64" s="13">
        <f>IF(A64&lt;K_PUT,FC_AMT*K_PUT,FC_AMT*A64)-B35</f>
        <v>5430570.75</v>
      </c>
      <c r="E64" s="13">
        <f>IF(A64&gt;K_CALL,FC_AMT*K_CALL,FC_AMT*A64)+B40</f>
        <v>5323229.0999999996</v>
      </c>
    </row>
    <row r="72" spans="1:5" x14ac:dyDescent="0.2">
      <c r="A72" s="18" t="s">
        <v>46</v>
      </c>
      <c r="B72" s="17"/>
      <c r="C72" s="17"/>
      <c r="D72" s="17"/>
      <c r="E72" s="17"/>
    </row>
    <row r="73" spans="1:5" x14ac:dyDescent="0.2">
      <c r="A73" t="s">
        <v>47</v>
      </c>
      <c r="B73" s="12">
        <f>S0_in*(1+R_USD*T_YRS)/(1+R_FC*T_YRS)</f>
        <v>1.1865380518844832</v>
      </c>
    </row>
    <row r="74" spans="1:5" x14ac:dyDescent="0.2">
      <c r="A74" t="s">
        <v>48</v>
      </c>
      <c r="B74" s="12">
        <f>F0_in-B73</f>
        <v>-9.9038051884483336E-2</v>
      </c>
    </row>
    <row r="75" spans="1:5" x14ac:dyDescent="0.2">
      <c r="A75" t="s">
        <v>49</v>
      </c>
      <c r="B75" s="14" t="str">
        <f>IF(ABS(B74)&lt;0.001,"PASS","FAIL")</f>
        <v>FAIL</v>
      </c>
    </row>
    <row r="77" spans="1:5" x14ac:dyDescent="0.2">
      <c r="A77" t="s">
        <v>50</v>
      </c>
      <c r="B77" s="2">
        <f>B27-(FC_AMT*F0_in)</f>
        <v>445671.23348017503</v>
      </c>
    </row>
    <row r="78" spans="1:5" x14ac:dyDescent="0.2">
      <c r="A78" t="s">
        <v>51</v>
      </c>
      <c r="B78" s="14" t="str">
        <f>IF(ABS(B77)&lt;100,"PASS","FAIL")</f>
        <v>FAIL</v>
      </c>
    </row>
  </sheetData>
  <mergeCells count="8">
    <mergeCell ref="A56:E56"/>
    <mergeCell ref="H2:J2"/>
    <mergeCell ref="A72:E72"/>
    <mergeCell ref="A1:E1"/>
    <mergeCell ref="A3:E3"/>
    <mergeCell ref="A17:E17"/>
    <mergeCell ref="A24:E24"/>
    <mergeCell ref="A33:E3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12"/>
  <sheetViews>
    <sheetView workbookViewId="0"/>
  </sheetViews>
  <sheetFormatPr baseColWidth="10" defaultColWidth="8.83203125" defaultRowHeight="15" x14ac:dyDescent="0.2"/>
  <sheetData>
    <row r="1" spans="1:4" x14ac:dyDescent="0.2">
      <c r="A1" s="15" t="s">
        <v>52</v>
      </c>
      <c r="B1" s="15" t="s">
        <v>53</v>
      </c>
      <c r="C1" s="15" t="s">
        <v>54</v>
      </c>
      <c r="D1" s="15" t="s">
        <v>4</v>
      </c>
    </row>
    <row r="2" spans="1:4" x14ac:dyDescent="0.2">
      <c r="A2" t="s">
        <v>55</v>
      </c>
      <c r="B2" t="str">
        <f>IF(ISREF(FC_AMT),"Yes","No")</f>
        <v>Yes</v>
      </c>
      <c r="C2" t="str">
        <f ca="1">CELL("address",FC_AMT)</f>
        <v>[FX_Hedging_Model_Final.xlsx]FX_Hedging_Model!$B$5</v>
      </c>
      <c r="D2">
        <f>FC_AMT</f>
        <v>4500000</v>
      </c>
    </row>
    <row r="3" spans="1:4" x14ac:dyDescent="0.2">
      <c r="A3" t="s">
        <v>56</v>
      </c>
      <c r="B3" t="str">
        <f>IF(ISREF(T_DAYS),"Yes","No")</f>
        <v>Yes</v>
      </c>
      <c r="C3" t="str">
        <f ca="1">CELL("address",T_DAYS)</f>
        <v>[FX_Hedging_Model_Final.xlsx]FX_Hedging_Model!$B$6</v>
      </c>
      <c r="D3">
        <f>T_DAYS</f>
        <v>360</v>
      </c>
    </row>
    <row r="4" spans="1:4" x14ac:dyDescent="0.2">
      <c r="A4" t="s">
        <v>57</v>
      </c>
      <c r="B4" t="str">
        <f>IF(ISREF(T_YRS),"Yes","No")</f>
        <v>Yes</v>
      </c>
      <c r="C4" t="str">
        <f ca="1">CELL("address",T_YRS)</f>
        <v>[FX_Hedging_Model_Final.xlsx]FX_Hedging_Model!$B$7</v>
      </c>
      <c r="D4">
        <f>T_YRS</f>
        <v>1</v>
      </c>
    </row>
    <row r="5" spans="1:4" x14ac:dyDescent="0.2">
      <c r="A5" t="s">
        <v>58</v>
      </c>
      <c r="B5" t="str">
        <f>IF(ISREF(S0_in),"Yes","No")</f>
        <v>Yes</v>
      </c>
      <c r="C5" t="str">
        <f ca="1">CELL("address",S0_in)</f>
        <v>[FX_Hedging_Model_Final.xlsx]FX_Hedging_Model!$B$8</v>
      </c>
      <c r="D5">
        <f>S0_in</f>
        <v>1.1641999999999999</v>
      </c>
    </row>
    <row r="6" spans="1:4" x14ac:dyDescent="0.2">
      <c r="A6" t="s">
        <v>59</v>
      </c>
      <c r="B6" t="str">
        <f>IF(ISREF(F0_in),"Yes","No")</f>
        <v>Yes</v>
      </c>
      <c r="C6" t="str">
        <f ca="1">CELL("address",F0_in)</f>
        <v>[FX_Hedging_Model_Final.xlsx]FX_Hedging_Model!$B$9</v>
      </c>
      <c r="D6">
        <f>F0_in</f>
        <v>1.0874999999999999</v>
      </c>
    </row>
    <row r="7" spans="1:4" x14ac:dyDescent="0.2">
      <c r="A7" t="s">
        <v>60</v>
      </c>
      <c r="B7" t="str">
        <f>IF(ISREF(R_USD),"Yes","No")</f>
        <v>Yes</v>
      </c>
      <c r="C7" t="str">
        <f ca="1">CELL("address",R_USD)</f>
        <v>[FX_Hedging_Model_Final.xlsx]FX_Hedging_Model!$B$10</v>
      </c>
      <c r="D7">
        <f>R_USD</f>
        <v>4.1099999999999998E-2</v>
      </c>
    </row>
    <row r="8" spans="1:4" x14ac:dyDescent="0.2">
      <c r="A8" t="s">
        <v>61</v>
      </c>
      <c r="B8" t="str">
        <f>IF(ISREF(R_FC),"Yes","No")</f>
        <v>Yes</v>
      </c>
      <c r="C8" t="str">
        <f ca="1">CELL("address",R_FC)</f>
        <v>[FX_Hedging_Model_Final.xlsx]FX_Hedging_Model!$B$11</v>
      </c>
      <c r="D8">
        <f>R_FC</f>
        <v>2.1499999999999998E-2</v>
      </c>
    </row>
    <row r="9" spans="1:4" x14ac:dyDescent="0.2">
      <c r="A9" t="s">
        <v>62</v>
      </c>
      <c r="B9" t="str">
        <f>IF(ISREF(K_PUT),"Yes","No")</f>
        <v>Yes</v>
      </c>
      <c r="C9" t="str">
        <f ca="1">CELL("address",K_PUT)</f>
        <v>[FX_Hedging_Model_Final.xlsx]FX_Hedging_Model!$B$12</v>
      </c>
      <c r="D9">
        <f>K_PUT</f>
        <v>1.1641999999999999</v>
      </c>
    </row>
    <row r="10" spans="1:4" x14ac:dyDescent="0.2">
      <c r="A10" t="s">
        <v>63</v>
      </c>
      <c r="B10" t="str">
        <f>IF(ISREF(K_CALL),"Yes","No")</f>
        <v>Yes</v>
      </c>
      <c r="C10" t="str">
        <f ca="1">CELL("address",K_CALL)</f>
        <v>[FX_Hedging_Model_Final.xlsx]FX_Hedging_Model!$B$13</v>
      </c>
      <c r="D10">
        <f>K_CALL</f>
        <v>1.1641999999999999</v>
      </c>
    </row>
    <row r="11" spans="1:4" x14ac:dyDescent="0.2">
      <c r="A11" t="s">
        <v>64</v>
      </c>
      <c r="B11" t="str">
        <f>IF(ISREF(PREM_PUT),"Yes","No")</f>
        <v>Yes</v>
      </c>
      <c r="C11" t="str">
        <f ca="1">CELL("address",PREM_PUT)</f>
        <v>[FX_Hedging_Model_Final.xlsx]FX_Hedging_Model!$B$14</v>
      </c>
      <c r="D11">
        <f>PREM_PUT</f>
        <v>1.4999999999999999E-2</v>
      </c>
    </row>
    <row r="12" spans="1:4" x14ac:dyDescent="0.2">
      <c r="A12" t="s">
        <v>65</v>
      </c>
      <c r="B12" t="str">
        <f>IF(ISREF(PREM_CALL),"Yes","No")</f>
        <v>Yes</v>
      </c>
      <c r="C12" t="str">
        <f ca="1">CELL("address",PREM_CALL)</f>
        <v>[FX_Hedging_Model_Final.xlsx]FX_Hedging_Model!$B$15</v>
      </c>
      <c r="D12">
        <f>PREM_CALL</f>
        <v>1.7999999999999999E-2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14"/>
  <sheetViews>
    <sheetView workbookViewId="0"/>
  </sheetViews>
  <sheetFormatPr baseColWidth="10" defaultColWidth="8.83203125" defaultRowHeight="15" x14ac:dyDescent="0.2"/>
  <sheetData>
    <row r="1" spans="1:3" x14ac:dyDescent="0.2">
      <c r="A1" s="15" t="s">
        <v>66</v>
      </c>
      <c r="B1" s="15" t="s">
        <v>67</v>
      </c>
      <c r="C1" s="15" t="s">
        <v>68</v>
      </c>
    </row>
    <row r="2" spans="1:3" x14ac:dyDescent="0.2">
      <c r="A2" t="s">
        <v>69</v>
      </c>
      <c r="B2">
        <f>FC_AMT*F0_in</f>
        <v>4893750</v>
      </c>
      <c r="C2" t="s">
        <v>70</v>
      </c>
    </row>
    <row r="3" spans="1:3" x14ac:dyDescent="0.2">
      <c r="A3" t="s">
        <v>71</v>
      </c>
      <c r="B3">
        <f>FC_AMT/(1+R_FC*T_YRS)</f>
        <v>4405286.3436123347</v>
      </c>
      <c r="C3" t="s">
        <v>72</v>
      </c>
    </row>
    <row r="4" spans="1:3" x14ac:dyDescent="0.2">
      <c r="A4" t="s">
        <v>73</v>
      </c>
      <c r="B4">
        <f>B25*S0_in</f>
        <v>0</v>
      </c>
      <c r="C4" t="s">
        <v>74</v>
      </c>
    </row>
    <row r="5" spans="1:3" x14ac:dyDescent="0.2">
      <c r="A5" t="s">
        <v>75</v>
      </c>
      <c r="B5">
        <f>B26*(1+R_USD*T_YRS)</f>
        <v>0</v>
      </c>
      <c r="C5" t="s">
        <v>76</v>
      </c>
    </row>
    <row r="6" spans="1:3" x14ac:dyDescent="0.2">
      <c r="A6" t="s">
        <v>77</v>
      </c>
      <c r="B6">
        <f>FC_AMT*PREM_PUT</f>
        <v>67500</v>
      </c>
      <c r="C6" t="s">
        <v>78</v>
      </c>
    </row>
    <row r="7" spans="1:3" x14ac:dyDescent="0.2">
      <c r="A7" t="s">
        <v>79</v>
      </c>
      <c r="B7">
        <f>B34*(1+R_USD*T_YRS)</f>
        <v>0</v>
      </c>
      <c r="C7" t="s">
        <v>80</v>
      </c>
    </row>
    <row r="8" spans="1:3" x14ac:dyDescent="0.2">
      <c r="A8" t="s">
        <v>81</v>
      </c>
      <c r="B8">
        <f>IF(A58&lt;K_PUT,FC_AMT*K_PUT,FC_AMT*A58)</f>
        <v>5238900</v>
      </c>
      <c r="C8" t="s">
        <v>82</v>
      </c>
    </row>
    <row r="9" spans="1:3" x14ac:dyDescent="0.2">
      <c r="A9" t="s">
        <v>83</v>
      </c>
      <c r="B9">
        <f>B36-B35</f>
        <v>0</v>
      </c>
      <c r="C9" t="s">
        <v>84</v>
      </c>
    </row>
    <row r="10" spans="1:3" x14ac:dyDescent="0.2">
      <c r="A10" t="s">
        <v>85</v>
      </c>
      <c r="B10">
        <f>FC_AMT*PREM_CALL</f>
        <v>81000</v>
      </c>
      <c r="C10" t="s">
        <v>86</v>
      </c>
    </row>
    <row r="11" spans="1:3" x14ac:dyDescent="0.2">
      <c r="A11" t="s">
        <v>87</v>
      </c>
      <c r="B11">
        <f>B39*(1+R_USD*T_YRS)</f>
        <v>0</v>
      </c>
      <c r="C11" t="s">
        <v>88</v>
      </c>
    </row>
    <row r="12" spans="1:3" x14ac:dyDescent="0.2">
      <c r="A12" t="s">
        <v>89</v>
      </c>
      <c r="B12">
        <f>IF(A58&gt;K_CALL,FC_AMT*K_CALL,FC_AMT*A58)</f>
        <v>0</v>
      </c>
      <c r="C12" t="s">
        <v>90</v>
      </c>
    </row>
    <row r="13" spans="1:3" x14ac:dyDescent="0.2">
      <c r="A13" t="s">
        <v>91</v>
      </c>
      <c r="B13">
        <f>B41+B40</f>
        <v>0</v>
      </c>
      <c r="C13" t="s">
        <v>92</v>
      </c>
    </row>
    <row r="14" spans="1:3" x14ac:dyDescent="0.2">
      <c r="A14" t="s">
        <v>93</v>
      </c>
      <c r="B14">
        <f>S0_in*(1+R_USD*T_YRS)/(1+R_FC*T_YRS)</f>
        <v>1.1865380518844832</v>
      </c>
      <c r="C14" t="s">
        <v>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11</vt:i4>
      </vt:variant>
    </vt:vector>
  </HeadingPairs>
  <TitlesOfParts>
    <vt:vector size="14" baseType="lpstr">
      <vt:lpstr>FX_Hedging_Model</vt:lpstr>
      <vt:lpstr>NamedRanges_Audit</vt:lpstr>
      <vt:lpstr>Formula_Audit</vt:lpstr>
      <vt:lpstr>F0_in</vt:lpstr>
      <vt:lpstr>FC_AMT</vt:lpstr>
      <vt:lpstr>K_CALL</vt:lpstr>
      <vt:lpstr>K_PUT</vt:lpstr>
      <vt:lpstr>PREM_CALL</vt:lpstr>
      <vt:lpstr>PREM_PUT</vt:lpstr>
      <vt:lpstr>R_FC</vt:lpstr>
      <vt:lpstr>R_USD</vt:lpstr>
      <vt:lpstr>S0_in</vt:lpstr>
      <vt:lpstr>T_DAYS</vt:lpstr>
      <vt:lpstr>T_YRS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Jayden Amba</cp:lastModifiedBy>
  <dcterms:created xsi:type="dcterms:W3CDTF">2025-12-08T19:24:30Z</dcterms:created>
  <dcterms:modified xsi:type="dcterms:W3CDTF">2025-12-08T19:29:53Z</dcterms:modified>
</cp:coreProperties>
</file>